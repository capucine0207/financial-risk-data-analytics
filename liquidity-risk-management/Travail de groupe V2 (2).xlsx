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ucinepetit/Desktop/"/>
    </mc:Choice>
  </mc:AlternateContent>
  <xr:revisionPtr revIDLastSave="0" documentId="8_{606B3431-7123-1349-BD5C-2517604CE1D6}" xr6:coauthVersionLast="47" xr6:coauthVersionMax="47" xr10:uidLastSave="{00000000-0000-0000-0000-000000000000}"/>
  <bookViews>
    <workbookView xWindow="0" yWindow="620" windowWidth="28800" windowHeight="16080" activeTab="1" xr2:uid="{80A056A7-5592-4F7F-A830-0B625119879A}"/>
  </bookViews>
  <sheets>
    <sheet name="Groupe" sheetId="3" r:id="rId1"/>
    <sheet name="Template Groupe" sheetId="1" r:id="rId2"/>
  </sheets>
  <externalReferences>
    <externalReference r:id="rId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'Template Groupe'!$A$1:$L$36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G32" i="1"/>
  <c r="F32" i="1"/>
  <c r="E32" i="1"/>
  <c r="D32" i="1"/>
  <c r="C32" i="1"/>
  <c r="B35" i="1"/>
  <c r="C27" i="1"/>
  <c r="I19" i="1"/>
  <c r="J19" i="1"/>
  <c r="K19" i="1"/>
  <c r="L19" i="1"/>
  <c r="H19" i="1"/>
  <c r="E19" i="1"/>
  <c r="F19" i="1"/>
  <c r="G19" i="1"/>
  <c r="D19" i="1"/>
  <c r="C26" i="1"/>
  <c r="C25" i="1"/>
  <c r="C13" i="1"/>
  <c r="D6" i="1" l="1"/>
  <c r="C4" i="1"/>
  <c r="D4" i="1" s="1"/>
  <c r="E4" i="1" s="1"/>
  <c r="F4" i="1" s="1"/>
  <c r="G4" i="1" s="1"/>
  <c r="H4" i="1" s="1"/>
  <c r="I4" i="1" s="1"/>
  <c r="J4" i="1" s="1"/>
  <c r="K4" i="1" s="1"/>
  <c r="L4" i="1" s="1"/>
  <c r="C16" i="1"/>
  <c r="D5" i="1"/>
  <c r="E5" i="1" s="1"/>
  <c r="F5" i="1" s="1"/>
  <c r="G5" i="1" s="1"/>
  <c r="H5" i="1" s="1"/>
  <c r="I5" i="1" s="1"/>
  <c r="C3" i="1"/>
  <c r="D3" i="1" s="1"/>
  <c r="B16" i="1"/>
  <c r="B11" i="1"/>
  <c r="C1" i="1"/>
  <c r="D1" i="1" s="1"/>
  <c r="E1" i="1" s="1"/>
  <c r="F1" i="1" s="1"/>
  <c r="G1" i="1" s="1"/>
  <c r="H1" i="1" s="1"/>
  <c r="I1" i="1" s="1"/>
  <c r="J1" i="1" s="1"/>
  <c r="K1" i="1" s="1"/>
  <c r="L1" i="1" s="1"/>
  <c r="J5" i="1" l="1"/>
  <c r="I26" i="1"/>
  <c r="I25" i="1" s="1"/>
  <c r="E6" i="1"/>
  <c r="D26" i="1"/>
  <c r="D25" i="1" s="1"/>
  <c r="C11" i="1"/>
  <c r="E3" i="1"/>
  <c r="F3" i="1" s="1"/>
  <c r="G3" i="1" s="1"/>
  <c r="H3" i="1" s="1"/>
  <c r="I3" i="1" s="1"/>
  <c r="J3" i="1" s="1"/>
  <c r="D11" i="1"/>
  <c r="D29" i="1" s="1"/>
  <c r="D13" i="1"/>
  <c r="C18" i="1" l="1"/>
  <c r="C29" i="1"/>
  <c r="C20" i="1"/>
  <c r="F6" i="1"/>
  <c r="E26" i="1"/>
  <c r="E25" i="1" s="1"/>
  <c r="E11" i="1"/>
  <c r="E29" i="1" s="1"/>
  <c r="K5" i="1"/>
  <c r="J26" i="1"/>
  <c r="J25" i="1" s="1"/>
  <c r="K3" i="1"/>
  <c r="L3" i="1" s="1"/>
  <c r="C21" i="1"/>
  <c r="C23" i="1" s="1"/>
  <c r="C30" i="1" s="1"/>
  <c r="C31" i="1" s="1"/>
  <c r="E13" i="1"/>
  <c r="D16" i="1"/>
  <c r="D18" i="1" s="1"/>
  <c r="D20" i="1" s="1"/>
  <c r="F11" i="1"/>
  <c r="F29" i="1" s="1"/>
  <c r="L5" i="1" l="1"/>
  <c r="L26" i="1" s="1"/>
  <c r="L25" i="1" s="1"/>
  <c r="K26" i="1"/>
  <c r="K25" i="1" s="1"/>
  <c r="G6" i="1"/>
  <c r="F26" i="1"/>
  <c r="F25" i="1" s="1"/>
  <c r="D21" i="1"/>
  <c r="D23" i="1" s="1"/>
  <c r="D30" i="1" s="1"/>
  <c r="D31" i="1" s="1"/>
  <c r="F13" i="1"/>
  <c r="E16" i="1"/>
  <c r="H6" i="1" l="1"/>
  <c r="H26" i="1" s="1"/>
  <c r="H25" i="1" s="1"/>
  <c r="G26" i="1"/>
  <c r="G25" i="1" s="1"/>
  <c r="G11" i="1"/>
  <c r="G29" i="1" s="1"/>
  <c r="G30" i="1" s="1"/>
  <c r="G31" i="1" s="1"/>
  <c r="E18" i="1"/>
  <c r="E20" i="1" s="1"/>
  <c r="E21" i="1"/>
  <c r="E23" i="1" s="1"/>
  <c r="E30" i="1" s="1"/>
  <c r="E31" i="1" s="1"/>
  <c r="G13" i="1"/>
  <c r="F16" i="1"/>
  <c r="H11" i="1"/>
  <c r="H29" i="1" s="1"/>
  <c r="H30" i="1" s="1"/>
  <c r="H31" i="1" s="1"/>
  <c r="F18" i="1" l="1"/>
  <c r="F20" i="1" s="1"/>
  <c r="F21" i="1"/>
  <c r="F23" i="1" s="1"/>
  <c r="F30" i="1" s="1"/>
  <c r="F31" i="1" s="1"/>
  <c r="H13" i="1"/>
  <c r="G16" i="1"/>
  <c r="I11" i="1"/>
  <c r="I29" i="1" s="1"/>
  <c r="I30" i="1" s="1"/>
  <c r="I31" i="1" s="1"/>
  <c r="G18" i="1" l="1"/>
  <c r="G20" i="1" s="1"/>
  <c r="G21" i="1"/>
  <c r="I13" i="1"/>
  <c r="H16" i="1"/>
  <c r="J11" i="1"/>
  <c r="J29" i="1" s="1"/>
  <c r="J30" i="1" s="1"/>
  <c r="J31" i="1" s="1"/>
  <c r="H18" i="1" l="1"/>
  <c r="H20" i="1" s="1"/>
  <c r="H21" i="1"/>
  <c r="J13" i="1"/>
  <c r="I16" i="1"/>
  <c r="L11" i="1"/>
  <c r="K11" i="1"/>
  <c r="K29" i="1" s="1"/>
  <c r="K30" i="1" s="1"/>
  <c r="K31" i="1" s="1"/>
  <c r="L18" i="1" l="1"/>
  <c r="L29" i="1"/>
  <c r="L30" i="1" s="1"/>
  <c r="L31" i="1" s="1"/>
  <c r="I18" i="1"/>
  <c r="I20" i="1" s="1"/>
  <c r="I21" i="1"/>
  <c r="K13" i="1"/>
  <c r="J16" i="1"/>
  <c r="J21" i="1" s="1"/>
  <c r="J18" i="1" l="1"/>
  <c r="J20" i="1" s="1"/>
  <c r="L13" i="1"/>
  <c r="L16" i="1" s="1"/>
  <c r="K16" i="1"/>
  <c r="K18" i="1" l="1"/>
  <c r="K20" i="1" s="1"/>
  <c r="K21" i="1"/>
  <c r="L20" i="1"/>
  <c r="L21" i="1"/>
</calcChain>
</file>

<file path=xl/sharedStrings.xml><?xml version="1.0" encoding="utf-8"?>
<sst xmlns="http://schemas.openxmlformats.org/spreadsheetml/2006/main" count="46" uniqueCount="44">
  <si>
    <t>Crédits à TF Stock</t>
  </si>
  <si>
    <t>Crédits à TF</t>
  </si>
  <si>
    <t>Crédits à TV Stock</t>
  </si>
  <si>
    <t>Crédits à TV</t>
  </si>
  <si>
    <t>Crédits à TF Réalisation</t>
  </si>
  <si>
    <t>Crédits à TV Réalisation</t>
  </si>
  <si>
    <t>Placements</t>
  </si>
  <si>
    <t>Placement</t>
  </si>
  <si>
    <t>CDL Net</t>
  </si>
  <si>
    <t>TOTAL ACTIF</t>
  </si>
  <si>
    <t>Emprunt</t>
  </si>
  <si>
    <t>Fonds Propres</t>
  </si>
  <si>
    <t>TOTAL PASSIF</t>
  </si>
  <si>
    <t>Taux de Couverture avant emprunt</t>
  </si>
  <si>
    <t>Durée des opérations</t>
  </si>
  <si>
    <t>1 an</t>
  </si>
  <si>
    <t>2 ans</t>
  </si>
  <si>
    <t>3 ans</t>
  </si>
  <si>
    <t>4 ans</t>
  </si>
  <si>
    <t>5 ans et plus</t>
  </si>
  <si>
    <t>Taux limite</t>
  </si>
  <si>
    <t>Taux de couverture</t>
  </si>
  <si>
    <t>A couvrir</t>
  </si>
  <si>
    <t>Ressource à obtenir</t>
  </si>
  <si>
    <t>Nouveaux emprunts</t>
  </si>
  <si>
    <t>Marge de sécurité trésorerie</t>
  </si>
  <si>
    <t>10% des réalisations</t>
  </si>
  <si>
    <t>Emplois avec marge de sécurité</t>
  </si>
  <si>
    <t>Couverture à prévoir</t>
  </si>
  <si>
    <t>Nouveaux emprunts ajustés des marges</t>
  </si>
  <si>
    <t>Emprunts à prévoir à 5 années</t>
  </si>
  <si>
    <t>Emprunts à prévoir à 3 années</t>
  </si>
  <si>
    <t>Emprunts à prévoir à 1 année</t>
  </si>
  <si>
    <t>Maxime</t>
  </si>
  <si>
    <t>DURAND</t>
  </si>
  <si>
    <t>Robert</t>
  </si>
  <si>
    <t>BOURGI</t>
  </si>
  <si>
    <t>Léa</t>
  </si>
  <si>
    <t>LEMIRE</t>
  </si>
  <si>
    <t>Capucine</t>
  </si>
  <si>
    <t>PETIT</t>
  </si>
  <si>
    <t>Benjamin</t>
  </si>
  <si>
    <t>VALAT</t>
  </si>
  <si>
    <t>8% des flux impayés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</si>
</sst>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??\ _€_-;_-@"/>
    <numFmt numFmtId="165" formatCode="_-* #,##0\ _€_-;\-* #,##0\ _€_-;_-* &quot;-&quot;\ _€_-;_-@_-"/>
    <numFmt numFmtId="166" formatCode="0.0%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rgb="FF232828"/>
      <name val="Arial"/>
      <family val="2"/>
    </font>
    <font>
      <b/>
      <u/>
      <sz val="10"/>
      <name val="Arial"/>
      <family val="2"/>
    </font>
    <font>
      <sz val="11"/>
      <color rgb="FF4B4E4D"/>
      <name val="Arial"/>
      <family val="2"/>
    </font>
    <font>
      <sz val="11"/>
      <color rgb="FF464A4A"/>
      <name val="Arial"/>
      <family val="2"/>
    </font>
    <font>
      <sz val="11"/>
      <color rgb="FF48484B"/>
      <name val="Arial"/>
      <family val="2"/>
    </font>
    <font>
      <sz val="11"/>
      <color rgb="FF444747"/>
      <name val="Arial"/>
      <family val="2"/>
    </font>
    <font>
      <sz val="11"/>
      <color rgb="FF454847"/>
      <name val="Arial"/>
      <family val="2"/>
    </font>
    <font>
      <sz val="11"/>
      <color rgb="FF464646"/>
      <name val="Arial"/>
      <family val="2"/>
    </font>
    <font>
      <sz val="11"/>
      <color rgb="FF454647"/>
      <name val="Arial"/>
      <family val="2"/>
    </font>
    <font>
      <sz val="11"/>
      <color rgb="FF444646"/>
      <name val="Arial"/>
      <family val="2"/>
    </font>
    <font>
      <sz val="11"/>
      <color rgb="FF454646"/>
      <name val="Arial"/>
      <family val="2"/>
    </font>
    <font>
      <sz val="11"/>
      <color rgb="FF484E4B"/>
      <name val="Arial"/>
      <family val="2"/>
    </font>
    <font>
      <sz val="11"/>
      <color rgb="FF46484A"/>
      <name val="Arial"/>
      <family val="2"/>
    </font>
    <font>
      <sz val="11"/>
      <color rgb="FF484D4E"/>
      <name val="Arial"/>
      <family val="2"/>
    </font>
    <font>
      <sz val="11"/>
      <color rgb="FF53534F"/>
      <name val="Arial"/>
      <family val="2"/>
    </font>
    <font>
      <sz val="11"/>
      <color rgb="FF474949"/>
      <name val="Arial"/>
      <family val="2"/>
    </font>
    <font>
      <sz val="11"/>
      <color rgb="FF444444"/>
      <name val="Arial"/>
      <family val="2"/>
    </font>
    <font>
      <sz val="11"/>
      <color rgb="FF434646"/>
      <name val="Arial"/>
      <family val="2"/>
    </font>
    <font>
      <sz val="11"/>
      <color rgb="FF46494A"/>
      <name val="Arial"/>
      <family val="2"/>
    </font>
    <font>
      <sz val="11"/>
      <color rgb="FF474A4A"/>
      <name val="Arial"/>
      <family val="2"/>
    </font>
    <font>
      <sz val="11"/>
      <color rgb="FF474B4B"/>
      <name val="Arial"/>
      <family val="2"/>
    </font>
    <font>
      <sz val="11"/>
      <color rgb="FF424646"/>
      <name val="Arial"/>
      <family val="2"/>
    </font>
    <font>
      <sz val="11"/>
      <color rgb="FF464949"/>
      <name val="Arial"/>
      <family val="2"/>
    </font>
    <font>
      <sz val="11"/>
      <color rgb="FF434647"/>
      <name val="Arial"/>
      <family val="2"/>
    </font>
    <font>
      <sz val="11"/>
      <color rgb="FF444647"/>
      <name val="Arial"/>
      <family val="2"/>
    </font>
    <font>
      <sz val="11"/>
      <color rgb="FF3E4343"/>
      <name val="Arial"/>
      <family val="2"/>
    </font>
    <font>
      <sz val="11"/>
      <color rgb="FF3E4143"/>
      <name val="Arial"/>
      <family val="2"/>
    </font>
    <font>
      <sz val="11"/>
      <color rgb="FF464848"/>
      <name val="Arial"/>
      <family val="2"/>
    </font>
    <font>
      <sz val="10"/>
      <color rgb="FF464A49"/>
      <name val="Arial"/>
      <family val="2"/>
    </font>
    <font>
      <sz val="10"/>
      <color rgb="FF46484A"/>
      <name val="Arial"/>
      <family val="2"/>
    </font>
    <font>
      <sz val="10"/>
      <color rgb="FF464949"/>
      <name val="Arial"/>
      <family val="2"/>
    </font>
    <font>
      <sz val="10"/>
      <color rgb="FF454748"/>
      <name val="Arial"/>
      <family val="2"/>
    </font>
    <font>
      <sz val="10"/>
      <color rgb="FF434646"/>
      <name val="Arial"/>
      <family val="2"/>
    </font>
    <font>
      <sz val="10"/>
      <color rgb="FF404342"/>
      <name val="Arial"/>
      <family val="2"/>
    </font>
    <font>
      <sz val="10"/>
      <color rgb="FF55585B"/>
      <name val="Arial"/>
      <family val="2"/>
    </font>
    <font>
      <sz val="10"/>
      <color rgb="FF535656"/>
      <name val="Arial"/>
      <family val="2"/>
    </font>
    <font>
      <sz val="10"/>
      <color rgb="FF515353"/>
      <name val="Arial"/>
      <family val="2"/>
    </font>
    <font>
      <sz val="10"/>
      <color rgb="FF505353"/>
      <name val="Arial"/>
      <family val="2"/>
    </font>
    <font>
      <sz val="10"/>
      <color rgb="FF4B4F4F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7E4BC"/>
        <bgColor rgb="FFCCFFFF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rgb="FFDBEEF3"/>
        <bgColor rgb="FFFFCC99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22B5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75757"/>
      </left>
      <right style="thin">
        <color rgb="FF575757"/>
      </right>
      <top style="thin">
        <color rgb="FF575757"/>
      </top>
      <bottom style="thin">
        <color rgb="FF5757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0" fontId="4" fillId="0" borderId="1" xfId="2" applyBorder="1"/>
    <xf numFmtId="164" fontId="5" fillId="0" borderId="1" xfId="2" applyNumberFormat="1" applyFont="1" applyBorder="1"/>
    <xf numFmtId="164" fontId="5" fillId="0" borderId="2" xfId="2" applyNumberFormat="1" applyFont="1" applyBorder="1"/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2" applyFont="1" applyBorder="1"/>
    <xf numFmtId="164" fontId="5" fillId="0" borderId="4" xfId="2" applyNumberFormat="1" applyFont="1" applyBorder="1"/>
    <xf numFmtId="164" fontId="5" fillId="0" borderId="0" xfId="2" applyNumberFormat="1" applyFont="1"/>
    <xf numFmtId="0" fontId="4" fillId="0" borderId="4" xfId="2" applyBorder="1"/>
    <xf numFmtId="0" fontId="4" fillId="0" borderId="0" xfId="2"/>
    <xf numFmtId="0" fontId="0" fillId="0" borderId="4" xfId="0" applyBorder="1"/>
    <xf numFmtId="164" fontId="5" fillId="2" borderId="0" xfId="2" applyNumberFormat="1" applyFont="1" applyFill="1"/>
    <xf numFmtId="164" fontId="5" fillId="2" borderId="4" xfId="2" applyNumberFormat="1" applyFont="1" applyFill="1" applyBorder="1"/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65" fontId="21" fillId="0" borderId="3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164" fontId="5" fillId="3" borderId="0" xfId="2" applyNumberFormat="1" applyFont="1" applyFill="1"/>
    <xf numFmtId="0" fontId="17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164" fontId="5" fillId="4" borderId="0" xfId="2" applyNumberFormat="1" applyFont="1" applyFill="1"/>
    <xf numFmtId="0" fontId="8" fillId="5" borderId="5" xfId="2" applyFont="1" applyFill="1" applyBorder="1"/>
    <xf numFmtId="164" fontId="5" fillId="5" borderId="5" xfId="2" applyNumberFormat="1" applyFont="1" applyFill="1" applyBorder="1"/>
    <xf numFmtId="0" fontId="28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8" fillId="6" borderId="5" xfId="2" applyFont="1" applyFill="1" applyBorder="1"/>
    <xf numFmtId="164" fontId="5" fillId="6" borderId="5" xfId="2" applyNumberFormat="1" applyFont="1" applyFill="1" applyBorder="1"/>
    <xf numFmtId="9" fontId="5" fillId="0" borderId="4" xfId="1" applyFont="1" applyBorder="1"/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9" fontId="41" fillId="0" borderId="1" xfId="0" applyNumberFormat="1" applyFont="1" applyBorder="1" applyAlignment="1">
      <alignment horizontal="center" vertical="center" wrapText="1"/>
    </xf>
    <xf numFmtId="9" fontId="42" fillId="0" borderId="1" xfId="0" applyNumberFormat="1" applyFont="1" applyBorder="1" applyAlignment="1">
      <alignment horizontal="center" vertical="center" wrapText="1"/>
    </xf>
    <xf numFmtId="9" fontId="43" fillId="0" borderId="1" xfId="0" applyNumberFormat="1" applyFont="1" applyBorder="1" applyAlignment="1">
      <alignment horizontal="center" vertical="center" wrapText="1"/>
    </xf>
    <xf numFmtId="9" fontId="44" fillId="0" borderId="1" xfId="0" applyNumberFormat="1" applyFont="1" applyBorder="1" applyAlignment="1">
      <alignment horizontal="center" vertical="center" wrapText="1"/>
    </xf>
    <xf numFmtId="9" fontId="45" fillId="0" borderId="1" xfId="0" applyNumberFormat="1" applyFont="1" applyBorder="1" applyAlignment="1">
      <alignment horizontal="center" vertical="center" wrapText="1"/>
    </xf>
    <xf numFmtId="0" fontId="3" fillId="7" borderId="4" xfId="0" applyFont="1" applyFill="1" applyBorder="1"/>
    <xf numFmtId="164" fontId="46" fillId="7" borderId="0" xfId="2" applyNumberFormat="1" applyFont="1" applyFill="1"/>
    <xf numFmtId="164" fontId="0" fillId="0" borderId="0" xfId="0" applyNumberFormat="1"/>
    <xf numFmtId="0" fontId="47" fillId="8" borderId="6" xfId="2" applyFont="1" applyFill="1" applyBorder="1"/>
    <xf numFmtId="164" fontId="47" fillId="8" borderId="6" xfId="2" applyNumberFormat="1" applyFont="1" applyFill="1" applyBorder="1"/>
    <xf numFmtId="164" fontId="47" fillId="7" borderId="0" xfId="2" applyNumberFormat="1" applyFont="1" applyFill="1"/>
    <xf numFmtId="0" fontId="2" fillId="7" borderId="7" xfId="0" applyFont="1" applyFill="1" applyBorder="1"/>
    <xf numFmtId="9" fontId="5" fillId="0" borderId="4" xfId="2" applyNumberFormat="1" applyFont="1" applyBorder="1"/>
    <xf numFmtId="165" fontId="21" fillId="0" borderId="3" xfId="0" quotePrefix="1" applyNumberFormat="1" applyFont="1" applyBorder="1" applyAlignment="1">
      <alignment horizontal="center" vertical="center" wrapText="1"/>
    </xf>
    <xf numFmtId="166" fontId="5" fillId="0" borderId="0" xfId="1" applyNumberFormat="1" applyFont="1"/>
    <xf numFmtId="164" fontId="2" fillId="7" borderId="8" xfId="0" applyNumberFormat="1" applyFont="1" applyFill="1" applyBorder="1"/>
    <xf numFmtId="164" fontId="2" fillId="7" borderId="9" xfId="0" applyNumberFormat="1" applyFont="1" applyFill="1" applyBorder="1"/>
    <xf numFmtId="164" fontId="2" fillId="7" borderId="10" xfId="0" applyNumberFormat="1" applyFont="1" applyFill="1" applyBorder="1"/>
  </cellXfs>
  <cellStyles count="3">
    <cellStyle name="Normal" xfId="0" builtinId="0"/>
    <cellStyle name="Normal 2" xfId="2" xr:uid="{CDB335FA-073E-4AEE-9893-7822041A5F22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pucinepetit/Desktop/Liquidity%20risk%20S1.xlsx" TargetMode="External"/><Relationship Id="rId1" Type="http://schemas.openxmlformats.org/officeDocument/2006/relationships/externalLinkPath" Target="Liquidity%20risk%20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TION"/>
      <sheetName val="A. Crédit TF K+I"/>
      <sheetName val="B. Macro"/>
      <sheetName val="B. Données statiques"/>
      <sheetName val="B. Gap Liq stat"/>
      <sheetName val="B. Données prévisions"/>
      <sheetName val="B. Gap Liq prév"/>
      <sheetName val="B. Gap Liq dyn"/>
      <sheetName val="B. Plan de refinancement"/>
      <sheetName val="C. Pilotage L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Actif dynamique</v>
          </cell>
        </row>
        <row r="5">
          <cell r="B5" t="str">
            <v>Passif dynamique</v>
          </cell>
        </row>
        <row r="7">
          <cell r="B7" t="str">
            <v>GAP LIQUIDITE DYNAMIQUE</v>
          </cell>
        </row>
      </sheetData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C304-E1C1-1E49-B201-6DB1E6464A0D}">
  <dimension ref="A2:B6"/>
  <sheetViews>
    <sheetView workbookViewId="0">
      <selection activeCell="B12" sqref="B12"/>
    </sheetView>
  </sheetViews>
  <sheetFormatPr baseColWidth="10" defaultRowHeight="15" x14ac:dyDescent="0.2"/>
  <sheetData>
    <row r="2" spans="1:2" x14ac:dyDescent="0.2">
      <c r="A2" t="s">
        <v>35</v>
      </c>
      <c r="B2" t="s">
        <v>36</v>
      </c>
    </row>
    <row r="3" spans="1:2" x14ac:dyDescent="0.2">
      <c r="A3" t="s">
        <v>33</v>
      </c>
      <c r="B3" t="s">
        <v>34</v>
      </c>
    </row>
    <row r="4" spans="1:2" x14ac:dyDescent="0.2">
      <c r="A4" t="s">
        <v>37</v>
      </c>
      <c r="B4" t="s">
        <v>38</v>
      </c>
    </row>
    <row r="5" spans="1:2" x14ac:dyDescent="0.2">
      <c r="A5" t="s">
        <v>39</v>
      </c>
      <c r="B5" t="s">
        <v>40</v>
      </c>
    </row>
    <row r="6" spans="1:2" x14ac:dyDescent="0.2">
      <c r="A6" t="s">
        <v>41</v>
      </c>
      <c r="B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E9D7-4A27-47F0-8A12-4B2D52F383FA}">
  <sheetPr>
    <pageSetUpPr fitToPage="1"/>
  </sheetPr>
  <dimension ref="A1:Y36"/>
  <sheetViews>
    <sheetView showGridLines="0" tabSelected="1" topLeftCell="A2" zoomScaleNormal="55" workbookViewId="0">
      <selection activeCell="D36" sqref="D36"/>
    </sheetView>
  </sheetViews>
  <sheetFormatPr baseColWidth="10" defaultRowHeight="15" x14ac:dyDescent="0.2"/>
  <cols>
    <col min="1" max="1" width="42.33203125" customWidth="1"/>
    <col min="2" max="2" width="15.6640625" bestFit="1" customWidth="1"/>
  </cols>
  <sheetData>
    <row r="1" spans="1:25" x14ac:dyDescent="0.2">
      <c r="A1" s="1"/>
      <c r="B1" s="2">
        <v>2025</v>
      </c>
      <c r="C1" s="3">
        <f t="shared" ref="C1:L1" si="0">B1+1</f>
        <v>2026</v>
      </c>
      <c r="D1" s="2">
        <f t="shared" si="0"/>
        <v>2027</v>
      </c>
      <c r="E1" s="3">
        <f t="shared" si="0"/>
        <v>2028</v>
      </c>
      <c r="F1" s="2">
        <f t="shared" si="0"/>
        <v>2029</v>
      </c>
      <c r="G1" s="3">
        <f t="shared" si="0"/>
        <v>2030</v>
      </c>
      <c r="H1" s="2">
        <f t="shared" si="0"/>
        <v>2031</v>
      </c>
      <c r="I1" s="3">
        <f t="shared" si="0"/>
        <v>2032</v>
      </c>
      <c r="J1" s="2">
        <f t="shared" si="0"/>
        <v>2033</v>
      </c>
      <c r="K1" s="3">
        <f t="shared" si="0"/>
        <v>2034</v>
      </c>
      <c r="L1" s="2">
        <f t="shared" si="0"/>
        <v>2035</v>
      </c>
      <c r="Q1" s="4"/>
      <c r="R1" s="5">
        <v>2025</v>
      </c>
      <c r="S1" s="5">
        <v>2026</v>
      </c>
      <c r="T1" s="5">
        <v>2027</v>
      </c>
      <c r="U1" s="5">
        <v>2028</v>
      </c>
      <c r="V1" s="5">
        <v>2029</v>
      </c>
      <c r="W1" s="5">
        <v>2030</v>
      </c>
      <c r="X1" s="5">
        <v>2031</v>
      </c>
      <c r="Y1" s="5">
        <v>2032</v>
      </c>
    </row>
    <row r="2" spans="1:25" x14ac:dyDescent="0.2">
      <c r="A2" s="6"/>
      <c r="B2" s="7"/>
      <c r="C2" s="8"/>
      <c r="D2" s="7"/>
      <c r="E2" s="8"/>
      <c r="F2" s="9"/>
      <c r="G2" s="10"/>
      <c r="H2" s="9"/>
      <c r="I2" s="10"/>
      <c r="J2" s="9"/>
      <c r="K2" s="10"/>
      <c r="L2" s="9"/>
    </row>
    <row r="3" spans="1:25" ht="30" x14ac:dyDescent="0.2">
      <c r="A3" s="11" t="s">
        <v>0</v>
      </c>
      <c r="B3" s="7">
        <v>500</v>
      </c>
      <c r="C3" s="12">
        <f>B3-R3</f>
        <v>450</v>
      </c>
      <c r="D3" s="12">
        <f t="shared" ref="D3:J3" si="1">C3-S3</f>
        <v>350</v>
      </c>
      <c r="E3" s="12">
        <f t="shared" si="1"/>
        <v>300</v>
      </c>
      <c r="F3" s="12">
        <f t="shared" si="1"/>
        <v>250</v>
      </c>
      <c r="G3" s="12">
        <f t="shared" si="1"/>
        <v>150</v>
      </c>
      <c r="H3" s="12">
        <f t="shared" si="1"/>
        <v>100</v>
      </c>
      <c r="I3" s="12">
        <f t="shared" si="1"/>
        <v>50</v>
      </c>
      <c r="J3" s="12">
        <f t="shared" si="1"/>
        <v>0</v>
      </c>
      <c r="K3" s="12">
        <f>J3-Z3</f>
        <v>0</v>
      </c>
      <c r="L3" s="12">
        <f>K3-AA3</f>
        <v>0</v>
      </c>
      <c r="Q3" s="14" t="s">
        <v>1</v>
      </c>
      <c r="R3" s="15">
        <v>50</v>
      </c>
      <c r="S3" s="16">
        <v>100</v>
      </c>
      <c r="T3" s="17">
        <v>50</v>
      </c>
      <c r="U3" s="18">
        <v>50</v>
      </c>
      <c r="V3" s="19">
        <v>100</v>
      </c>
      <c r="W3" s="20">
        <v>50</v>
      </c>
      <c r="X3" s="21">
        <v>50</v>
      </c>
      <c r="Y3" s="22">
        <v>50</v>
      </c>
    </row>
    <row r="4" spans="1:25" ht="30" x14ac:dyDescent="0.2">
      <c r="A4" s="11" t="s">
        <v>2</v>
      </c>
      <c r="B4" s="7">
        <v>400</v>
      </c>
      <c r="C4" s="12">
        <f>B4-R4</f>
        <v>350</v>
      </c>
      <c r="D4" s="12">
        <f t="shared" ref="D4:L4" si="2">C4-S4</f>
        <v>300</v>
      </c>
      <c r="E4" s="12">
        <f t="shared" si="2"/>
        <v>300</v>
      </c>
      <c r="F4" s="12">
        <f t="shared" si="2"/>
        <v>250</v>
      </c>
      <c r="G4" s="12">
        <f t="shared" si="2"/>
        <v>250</v>
      </c>
      <c r="H4" s="12">
        <f t="shared" si="2"/>
        <v>150</v>
      </c>
      <c r="I4" s="12">
        <f t="shared" si="2"/>
        <v>100</v>
      </c>
      <c r="J4" s="12">
        <f t="shared" si="2"/>
        <v>0</v>
      </c>
      <c r="K4" s="12">
        <f t="shared" si="2"/>
        <v>0</v>
      </c>
      <c r="L4" s="12">
        <f t="shared" si="2"/>
        <v>0</v>
      </c>
      <c r="Q4" s="23" t="s">
        <v>3</v>
      </c>
      <c r="R4" s="24">
        <v>50</v>
      </c>
      <c r="S4" s="25">
        <v>50</v>
      </c>
      <c r="T4" s="67">
        <v>0</v>
      </c>
      <c r="U4" s="27">
        <v>50</v>
      </c>
      <c r="V4" s="28">
        <v>0</v>
      </c>
      <c r="W4" s="29">
        <v>100</v>
      </c>
      <c r="X4" s="30">
        <v>50</v>
      </c>
      <c r="Y4" s="31">
        <v>100</v>
      </c>
    </row>
    <row r="5" spans="1:25" x14ac:dyDescent="0.2">
      <c r="A5" s="11" t="s">
        <v>4</v>
      </c>
      <c r="B5" s="7">
        <v>0</v>
      </c>
      <c r="C5" s="12">
        <v>400</v>
      </c>
      <c r="D5" s="13">
        <f>C5-$C$5*1/10</f>
        <v>360</v>
      </c>
      <c r="E5" s="13">
        <f t="shared" ref="E5:L5" si="3">D5-$C$5*1/10</f>
        <v>320</v>
      </c>
      <c r="F5" s="13">
        <f t="shared" si="3"/>
        <v>280</v>
      </c>
      <c r="G5" s="13">
        <f t="shared" si="3"/>
        <v>240</v>
      </c>
      <c r="H5" s="13">
        <f t="shared" si="3"/>
        <v>200</v>
      </c>
      <c r="I5" s="13">
        <f t="shared" si="3"/>
        <v>160</v>
      </c>
      <c r="J5" s="13">
        <f t="shared" si="3"/>
        <v>120</v>
      </c>
      <c r="K5" s="13">
        <f t="shared" si="3"/>
        <v>80</v>
      </c>
      <c r="L5" s="13">
        <f t="shared" si="3"/>
        <v>40</v>
      </c>
    </row>
    <row r="6" spans="1:25" x14ac:dyDescent="0.2">
      <c r="A6" s="11" t="s">
        <v>5</v>
      </c>
      <c r="B6" s="7">
        <v>0</v>
      </c>
      <c r="C6" s="12">
        <v>200</v>
      </c>
      <c r="D6" s="13">
        <f>C6-$C$6*1/5</f>
        <v>160</v>
      </c>
      <c r="E6" s="13">
        <f t="shared" ref="E6:H6" si="4">D6-$C$6*1/5</f>
        <v>120</v>
      </c>
      <c r="F6" s="13">
        <f t="shared" si="4"/>
        <v>80</v>
      </c>
      <c r="G6" s="13">
        <f t="shared" si="4"/>
        <v>40</v>
      </c>
      <c r="H6" s="13">
        <f t="shared" si="4"/>
        <v>0</v>
      </c>
      <c r="I6" s="13"/>
      <c r="J6" s="13"/>
      <c r="K6" s="13"/>
      <c r="L6" s="13"/>
    </row>
    <row r="7" spans="1:25" x14ac:dyDescent="0.2">
      <c r="A7" s="11" t="s">
        <v>6</v>
      </c>
      <c r="B7" s="7">
        <v>50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0</v>
      </c>
      <c r="Q7" s="33" t="s">
        <v>7</v>
      </c>
      <c r="R7" s="34">
        <v>50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</row>
    <row r="8" spans="1:25" x14ac:dyDescent="0.2">
      <c r="A8" s="11" t="s">
        <v>8</v>
      </c>
      <c r="B8" s="7">
        <v>50</v>
      </c>
      <c r="C8" s="35">
        <v>45</v>
      </c>
      <c r="D8" s="35">
        <v>40</v>
      </c>
      <c r="E8" s="35">
        <v>35</v>
      </c>
      <c r="F8" s="35">
        <v>30</v>
      </c>
      <c r="G8" s="35">
        <v>25</v>
      </c>
      <c r="H8" s="35">
        <v>20</v>
      </c>
      <c r="I8" s="35">
        <v>15</v>
      </c>
      <c r="J8" s="35">
        <v>10</v>
      </c>
      <c r="K8" s="35">
        <v>5</v>
      </c>
      <c r="L8" s="35">
        <v>0</v>
      </c>
    </row>
    <row r="9" spans="1:25" x14ac:dyDescent="0.2">
      <c r="A9" s="9"/>
      <c r="B9" s="7"/>
      <c r="C9" s="8"/>
      <c r="D9" s="7"/>
      <c r="E9" s="8"/>
      <c r="F9" s="7"/>
      <c r="G9" s="8"/>
      <c r="H9" s="7"/>
      <c r="I9" s="8"/>
      <c r="J9" s="7"/>
      <c r="K9" s="8"/>
      <c r="L9" s="7"/>
    </row>
    <row r="10" spans="1:25" x14ac:dyDescent="0.2">
      <c r="A10" s="6"/>
      <c r="B10" s="7"/>
      <c r="C10" s="8"/>
      <c r="D10" s="7"/>
      <c r="E10" s="8"/>
      <c r="F10" s="9"/>
      <c r="G10" s="10"/>
      <c r="H10" s="9"/>
      <c r="I10" s="10"/>
      <c r="J10" s="9"/>
      <c r="K10" s="10"/>
      <c r="L10" s="9"/>
    </row>
    <row r="11" spans="1:25" x14ac:dyDescent="0.2">
      <c r="A11" s="36" t="s">
        <v>9</v>
      </c>
      <c r="B11" s="37">
        <f>SUM(B3:B8)</f>
        <v>1000</v>
      </c>
      <c r="C11" s="37">
        <f t="shared" ref="C11:L11" si="5">SUM(C3:C8)</f>
        <v>1445</v>
      </c>
      <c r="D11" s="37">
        <f t="shared" si="5"/>
        <v>1210</v>
      </c>
      <c r="E11" s="37">
        <f t="shared" si="5"/>
        <v>1075</v>
      </c>
      <c r="F11" s="37">
        <f t="shared" si="5"/>
        <v>890</v>
      </c>
      <c r="G11" s="37">
        <f t="shared" si="5"/>
        <v>705</v>
      </c>
      <c r="H11" s="37">
        <f t="shared" si="5"/>
        <v>470</v>
      </c>
      <c r="I11" s="37">
        <f t="shared" si="5"/>
        <v>325</v>
      </c>
      <c r="J11" s="37">
        <f t="shared" si="5"/>
        <v>130</v>
      </c>
      <c r="K11" s="37">
        <f t="shared" si="5"/>
        <v>85</v>
      </c>
      <c r="L11" s="37">
        <f t="shared" si="5"/>
        <v>40</v>
      </c>
      <c r="O11" s="12">
        <v>0</v>
      </c>
    </row>
    <row r="12" spans="1:25" x14ac:dyDescent="0.2">
      <c r="A12" s="9"/>
      <c r="B12" s="7"/>
      <c r="C12" s="8"/>
      <c r="D12" s="7"/>
      <c r="E12" s="8"/>
      <c r="F12" s="9"/>
      <c r="G12" s="10"/>
      <c r="H12" s="9"/>
      <c r="I12" s="10"/>
      <c r="J12" s="9"/>
      <c r="K12" s="10"/>
      <c r="L12" s="9"/>
      <c r="O12" s="8"/>
    </row>
    <row r="13" spans="1:25" x14ac:dyDescent="0.2">
      <c r="A13" s="11" t="s">
        <v>10</v>
      </c>
      <c r="B13" s="7">
        <v>900</v>
      </c>
      <c r="C13" s="32">
        <f>B13-R13</f>
        <v>850</v>
      </c>
      <c r="D13" s="32">
        <f t="shared" ref="D13:J13" si="6">C13-S13</f>
        <v>650</v>
      </c>
      <c r="E13" s="32">
        <f t="shared" si="6"/>
        <v>550</v>
      </c>
      <c r="F13" s="32">
        <f t="shared" si="6"/>
        <v>450</v>
      </c>
      <c r="G13" s="32">
        <f t="shared" si="6"/>
        <v>350</v>
      </c>
      <c r="H13" s="32">
        <f t="shared" si="6"/>
        <v>250</v>
      </c>
      <c r="I13" s="32">
        <f t="shared" si="6"/>
        <v>200</v>
      </c>
      <c r="J13" s="32">
        <f t="shared" si="6"/>
        <v>0</v>
      </c>
      <c r="K13" s="32">
        <f>J13-Z13</f>
        <v>0</v>
      </c>
      <c r="L13" s="32">
        <f>K13-AA13</f>
        <v>0</v>
      </c>
      <c r="O13" s="32">
        <v>-0.76470588235294112</v>
      </c>
      <c r="Q13" s="38" t="s">
        <v>10</v>
      </c>
      <c r="R13" s="17">
        <v>50</v>
      </c>
      <c r="S13" s="39">
        <v>200</v>
      </c>
      <c r="T13" s="40">
        <v>100</v>
      </c>
      <c r="U13" s="41">
        <v>100</v>
      </c>
      <c r="V13" s="42">
        <v>100</v>
      </c>
      <c r="W13" s="43">
        <v>100</v>
      </c>
      <c r="X13" s="29">
        <v>50</v>
      </c>
      <c r="Y13" s="44">
        <v>200</v>
      </c>
    </row>
    <row r="14" spans="1:25" x14ac:dyDescent="0.2">
      <c r="A14" s="11" t="s">
        <v>11</v>
      </c>
      <c r="B14" s="7">
        <v>100</v>
      </c>
      <c r="C14" s="35">
        <v>100</v>
      </c>
      <c r="D14" s="35">
        <v>100</v>
      </c>
      <c r="E14" s="35">
        <v>100</v>
      </c>
      <c r="F14" s="35">
        <v>100</v>
      </c>
      <c r="G14" s="35">
        <v>100</v>
      </c>
      <c r="H14" s="35">
        <v>100</v>
      </c>
      <c r="I14" s="35">
        <v>100</v>
      </c>
      <c r="J14" s="35">
        <v>100</v>
      </c>
      <c r="K14" s="35">
        <v>100</v>
      </c>
      <c r="L14" s="35">
        <v>100</v>
      </c>
      <c r="O14" s="32">
        <v>-1</v>
      </c>
    </row>
    <row r="15" spans="1:25" x14ac:dyDescent="0.2">
      <c r="A15" s="9"/>
      <c r="B15" s="7"/>
      <c r="C15" s="8"/>
      <c r="D15" s="7"/>
      <c r="E15" s="8"/>
      <c r="F15" s="9"/>
      <c r="G15" s="10"/>
      <c r="H15" s="9"/>
      <c r="I15" s="10"/>
      <c r="J15" s="9"/>
      <c r="K15" s="10"/>
      <c r="L15" s="9"/>
    </row>
    <row r="16" spans="1:25" x14ac:dyDescent="0.2">
      <c r="A16" s="45" t="s">
        <v>12</v>
      </c>
      <c r="B16" s="46">
        <f>SUM(B13:B14)</f>
        <v>1000</v>
      </c>
      <c r="C16" s="46">
        <f t="shared" ref="C16:L16" si="7">SUM(C13:C14)</f>
        <v>950</v>
      </c>
      <c r="D16" s="46">
        <f t="shared" si="7"/>
        <v>750</v>
      </c>
      <c r="E16" s="46">
        <f t="shared" si="7"/>
        <v>650</v>
      </c>
      <c r="F16" s="46">
        <f t="shared" si="7"/>
        <v>550</v>
      </c>
      <c r="G16" s="46">
        <f t="shared" si="7"/>
        <v>450</v>
      </c>
      <c r="H16" s="46">
        <f t="shared" si="7"/>
        <v>350</v>
      </c>
      <c r="I16" s="46">
        <f t="shared" si="7"/>
        <v>300</v>
      </c>
      <c r="J16" s="46">
        <f t="shared" si="7"/>
        <v>100</v>
      </c>
      <c r="K16" s="46">
        <f t="shared" si="7"/>
        <v>100</v>
      </c>
      <c r="L16" s="46">
        <f t="shared" si="7"/>
        <v>100</v>
      </c>
    </row>
    <row r="17" spans="1:22" x14ac:dyDescent="0.2">
      <c r="A17" s="9"/>
      <c r="B17" s="7"/>
      <c r="C17" s="8"/>
      <c r="D17" s="7"/>
      <c r="E17" s="8"/>
      <c r="F17" s="9"/>
      <c r="G17" s="10"/>
      <c r="H17" s="9"/>
      <c r="I17" s="10"/>
      <c r="J17" s="9"/>
      <c r="K17" s="10"/>
      <c r="L17" s="9"/>
    </row>
    <row r="18" spans="1:22" ht="28" x14ac:dyDescent="0.2">
      <c r="A18" s="11" t="s">
        <v>13</v>
      </c>
      <c r="B18" s="11"/>
      <c r="C18" s="68">
        <f>C16/C11</f>
        <v>0.65743944636678198</v>
      </c>
      <c r="D18" s="68">
        <f t="shared" ref="D18:K18" si="8">D16/D11</f>
        <v>0.6198347107438017</v>
      </c>
      <c r="E18" s="68">
        <f t="shared" si="8"/>
        <v>0.60465116279069764</v>
      </c>
      <c r="F18" s="68">
        <f t="shared" si="8"/>
        <v>0.6179775280898876</v>
      </c>
      <c r="G18" s="68">
        <f t="shared" si="8"/>
        <v>0.63829787234042556</v>
      </c>
      <c r="H18" s="68">
        <f t="shared" si="8"/>
        <v>0.74468085106382975</v>
      </c>
      <c r="I18" s="68">
        <f t="shared" si="8"/>
        <v>0.92307692307692313</v>
      </c>
      <c r="J18" s="68">
        <f t="shared" si="8"/>
        <v>0.76923076923076927</v>
      </c>
      <c r="K18" s="68">
        <f t="shared" si="8"/>
        <v>1.1764705882352942</v>
      </c>
      <c r="L18" s="68">
        <f>L16/L11</f>
        <v>2.5</v>
      </c>
      <c r="Q18" s="48" t="s">
        <v>14</v>
      </c>
      <c r="R18" s="49" t="s">
        <v>15</v>
      </c>
      <c r="S18" s="50" t="s">
        <v>16</v>
      </c>
      <c r="T18" s="51" t="s">
        <v>17</v>
      </c>
      <c r="U18" s="52" t="s">
        <v>18</v>
      </c>
      <c r="V18" s="53" t="s">
        <v>19</v>
      </c>
    </row>
    <row r="19" spans="1:22" ht="28" x14ac:dyDescent="0.2">
      <c r="A19" s="11" t="s">
        <v>20</v>
      </c>
      <c r="B19" s="11"/>
      <c r="C19" s="66">
        <v>1</v>
      </c>
      <c r="D19" s="47">
        <f>R19</f>
        <v>0.8</v>
      </c>
      <c r="E19" s="47">
        <f t="shared" ref="E19:L19" si="9">S19</f>
        <v>0.75</v>
      </c>
      <c r="F19" s="47">
        <f t="shared" si="9"/>
        <v>0.7</v>
      </c>
      <c r="G19" s="47">
        <f t="shared" si="9"/>
        <v>0.65</v>
      </c>
      <c r="H19" s="47">
        <f>$V$19</f>
        <v>0.6</v>
      </c>
      <c r="I19" s="47">
        <f t="shared" ref="I19:L19" si="10">$V$19</f>
        <v>0.6</v>
      </c>
      <c r="J19" s="47">
        <f t="shared" si="10"/>
        <v>0.6</v>
      </c>
      <c r="K19" s="47">
        <f t="shared" si="10"/>
        <v>0.6</v>
      </c>
      <c r="L19" s="47">
        <f t="shared" si="10"/>
        <v>0.6</v>
      </c>
      <c r="Q19" s="48" t="s">
        <v>21</v>
      </c>
      <c r="R19" s="54">
        <v>0.8</v>
      </c>
      <c r="S19" s="55">
        <v>0.75</v>
      </c>
      <c r="T19" s="56">
        <v>0.7</v>
      </c>
      <c r="U19" s="57">
        <v>0.65</v>
      </c>
      <c r="V19" s="58">
        <v>0.6</v>
      </c>
    </row>
    <row r="20" spans="1:22" x14ac:dyDescent="0.2">
      <c r="A20" s="11" t="s">
        <v>22</v>
      </c>
      <c r="B20" s="11"/>
      <c r="C20" s="68">
        <f>C19-C18</f>
        <v>0.34256055363321802</v>
      </c>
      <c r="D20" s="68">
        <f t="shared" ref="D20:L20" si="11">D19-D18</f>
        <v>0.18016528925619835</v>
      </c>
      <c r="E20" s="68">
        <f t="shared" si="11"/>
        <v>0.14534883720930236</v>
      </c>
      <c r="F20" s="68">
        <f t="shared" si="11"/>
        <v>8.202247191011236E-2</v>
      </c>
      <c r="G20" s="68">
        <f t="shared" si="11"/>
        <v>1.1702127659574457E-2</v>
      </c>
      <c r="H20" s="68">
        <f t="shared" si="11"/>
        <v>-0.14468085106382977</v>
      </c>
      <c r="I20" s="68">
        <f t="shared" si="11"/>
        <v>-0.32307692307692315</v>
      </c>
      <c r="J20" s="68">
        <f>J19-J18</f>
        <v>-0.1692307692307693</v>
      </c>
      <c r="K20" s="68">
        <f t="shared" si="11"/>
        <v>-0.57647058823529418</v>
      </c>
      <c r="L20" s="68">
        <f t="shared" si="11"/>
        <v>-1.9</v>
      </c>
    </row>
    <row r="21" spans="1:22" x14ac:dyDescent="0.2">
      <c r="A21" s="11" t="s">
        <v>23</v>
      </c>
      <c r="B21" s="11"/>
      <c r="C21" s="8">
        <f>C19*C11-C16</f>
        <v>495</v>
      </c>
      <c r="D21" s="8">
        <f t="shared" ref="D21:L21" si="12">D19*D11-D16</f>
        <v>218</v>
      </c>
      <c r="E21" s="8">
        <f t="shared" si="12"/>
        <v>156.25</v>
      </c>
      <c r="F21" s="8">
        <f t="shared" si="12"/>
        <v>73</v>
      </c>
      <c r="G21" s="8">
        <f t="shared" si="12"/>
        <v>8.25</v>
      </c>
      <c r="H21" s="8">
        <f t="shared" si="12"/>
        <v>-68</v>
      </c>
      <c r="I21" s="8">
        <f t="shared" si="12"/>
        <v>-105</v>
      </c>
      <c r="J21" s="8">
        <f>J19*J11-J16</f>
        <v>-22</v>
      </c>
      <c r="K21" s="8">
        <f t="shared" si="12"/>
        <v>-49</v>
      </c>
      <c r="L21" s="8">
        <f t="shared" si="12"/>
        <v>-76</v>
      </c>
    </row>
    <row r="22" spans="1:22" x14ac:dyDescent="0.2">
      <c r="A22" s="11"/>
      <c r="B22" s="11"/>
      <c r="C22" s="8"/>
      <c r="D22" s="7"/>
      <c r="E22" s="8"/>
      <c r="F22" s="9"/>
      <c r="G22" s="10"/>
      <c r="H22" s="9"/>
      <c r="I22" s="10"/>
      <c r="J22" s="9"/>
      <c r="K22" s="10"/>
      <c r="L22" s="9"/>
    </row>
    <row r="23" spans="1:22" x14ac:dyDescent="0.2">
      <c r="A23" s="59" t="s">
        <v>24</v>
      </c>
      <c r="B23" s="11"/>
      <c r="C23" s="60">
        <f>C21</f>
        <v>495</v>
      </c>
      <c r="D23" s="60">
        <f t="shared" ref="D23:F23" si="13">D21</f>
        <v>218</v>
      </c>
      <c r="E23" s="60">
        <f t="shared" si="13"/>
        <v>156.25</v>
      </c>
      <c r="F23" s="60">
        <f t="shared" si="13"/>
        <v>73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</row>
    <row r="24" spans="1:22" x14ac:dyDescent="0.2">
      <c r="A24" s="11"/>
      <c r="B24" s="11"/>
      <c r="D24" s="11"/>
      <c r="F24" s="11"/>
      <c r="H24" s="11"/>
      <c r="J24" s="11"/>
      <c r="L24" s="11"/>
    </row>
    <row r="25" spans="1:22" x14ac:dyDescent="0.2">
      <c r="A25" s="11" t="s">
        <v>25</v>
      </c>
      <c r="B25" s="11"/>
      <c r="C25" s="61">
        <f>C26+C27</f>
        <v>80</v>
      </c>
      <c r="D25" s="61">
        <f t="shared" ref="D25:L25" si="14">D26+D27</f>
        <v>52</v>
      </c>
      <c r="E25" s="61">
        <f t="shared" si="14"/>
        <v>44</v>
      </c>
      <c r="F25" s="61">
        <f t="shared" si="14"/>
        <v>36</v>
      </c>
      <c r="G25" s="61">
        <f t="shared" si="14"/>
        <v>28</v>
      </c>
      <c r="H25" s="61">
        <f t="shared" si="14"/>
        <v>20</v>
      </c>
      <c r="I25" s="61">
        <f t="shared" si="14"/>
        <v>16</v>
      </c>
      <c r="J25" s="61">
        <f t="shared" si="14"/>
        <v>12</v>
      </c>
      <c r="K25" s="61">
        <f t="shared" si="14"/>
        <v>8</v>
      </c>
      <c r="L25" s="61">
        <f t="shared" si="14"/>
        <v>4</v>
      </c>
    </row>
    <row r="26" spans="1:22" x14ac:dyDescent="0.2">
      <c r="A26" s="11" t="s">
        <v>26</v>
      </c>
      <c r="B26" s="11"/>
      <c r="C26" s="61">
        <f>(C6+C5)*10%</f>
        <v>60</v>
      </c>
      <c r="D26" s="61">
        <f t="shared" ref="D26:L26" si="15">(D6+D5)*10%</f>
        <v>52</v>
      </c>
      <c r="E26" s="61">
        <f t="shared" si="15"/>
        <v>44</v>
      </c>
      <c r="F26" s="61">
        <f t="shared" si="15"/>
        <v>36</v>
      </c>
      <c r="G26" s="61">
        <f t="shared" si="15"/>
        <v>28</v>
      </c>
      <c r="H26" s="61">
        <f t="shared" si="15"/>
        <v>20</v>
      </c>
      <c r="I26" s="61">
        <f t="shared" si="15"/>
        <v>16</v>
      </c>
      <c r="J26" s="61">
        <f t="shared" si="15"/>
        <v>12</v>
      </c>
      <c r="K26" s="61">
        <f t="shared" si="15"/>
        <v>8</v>
      </c>
      <c r="L26" s="61">
        <f t="shared" si="15"/>
        <v>4</v>
      </c>
    </row>
    <row r="27" spans="1:22" x14ac:dyDescent="0.2">
      <c r="A27" s="11" t="s">
        <v>43</v>
      </c>
      <c r="B27" s="11"/>
      <c r="C27" s="61">
        <f>250*8%</f>
        <v>20</v>
      </c>
      <c r="D27" s="11"/>
      <c r="F27" s="11"/>
      <c r="H27" s="11"/>
      <c r="J27" s="11"/>
      <c r="L27" s="11"/>
    </row>
    <row r="28" spans="1:22" x14ac:dyDescent="0.2">
      <c r="A28" s="11"/>
      <c r="B28" s="11"/>
      <c r="C28" s="61"/>
      <c r="D28" s="11"/>
      <c r="F28" s="11"/>
      <c r="H28" s="11"/>
      <c r="J28" s="11"/>
      <c r="L28" s="11"/>
    </row>
    <row r="29" spans="1:22" x14ac:dyDescent="0.2">
      <c r="A29" s="11" t="s">
        <v>27</v>
      </c>
      <c r="B29" s="11"/>
      <c r="C29" s="61">
        <f>C11+C25</f>
        <v>1525</v>
      </c>
      <c r="D29" s="61">
        <f t="shared" ref="D29:L29" si="16">D11+D25</f>
        <v>1262</v>
      </c>
      <c r="E29" s="61">
        <f t="shared" si="16"/>
        <v>1119</v>
      </c>
      <c r="F29" s="61">
        <f t="shared" si="16"/>
        <v>926</v>
      </c>
      <c r="G29" s="61">
        <f t="shared" si="16"/>
        <v>733</v>
      </c>
      <c r="H29" s="61">
        <f t="shared" si="16"/>
        <v>490</v>
      </c>
      <c r="I29" s="61">
        <f t="shared" si="16"/>
        <v>341</v>
      </c>
      <c r="J29" s="61">
        <f t="shared" si="16"/>
        <v>142</v>
      </c>
      <c r="K29" s="61">
        <f t="shared" si="16"/>
        <v>93</v>
      </c>
      <c r="L29" s="61">
        <f t="shared" si="16"/>
        <v>44</v>
      </c>
    </row>
    <row r="30" spans="1:22" x14ac:dyDescent="0.2">
      <c r="A30" s="11" t="s">
        <v>28</v>
      </c>
      <c r="B30" s="11"/>
      <c r="C30" s="61">
        <f>C19*C29-C16-C23</f>
        <v>80</v>
      </c>
      <c r="D30" s="61">
        <f t="shared" ref="D30:L30" si="17">D19*D29-D16-D23</f>
        <v>41.600000000000023</v>
      </c>
      <c r="E30" s="61">
        <f t="shared" si="17"/>
        <v>33</v>
      </c>
      <c r="F30" s="61">
        <f t="shared" si="17"/>
        <v>25.199999999999932</v>
      </c>
      <c r="G30" s="61">
        <f t="shared" si="17"/>
        <v>26.449999999999989</v>
      </c>
      <c r="H30" s="61">
        <f t="shared" si="17"/>
        <v>-56</v>
      </c>
      <c r="I30" s="61">
        <f t="shared" si="17"/>
        <v>-95.4</v>
      </c>
      <c r="J30" s="61">
        <f t="shared" si="17"/>
        <v>-14.799999999999997</v>
      </c>
      <c r="K30" s="61">
        <f t="shared" si="17"/>
        <v>-44.2</v>
      </c>
      <c r="L30" s="61">
        <f t="shared" si="17"/>
        <v>-73.599999999999994</v>
      </c>
    </row>
    <row r="31" spans="1:22" x14ac:dyDescent="0.2">
      <c r="A31" s="62" t="s">
        <v>23</v>
      </c>
      <c r="B31" s="63">
        <v>0</v>
      </c>
      <c r="C31" s="63">
        <f>C30+C23</f>
        <v>575</v>
      </c>
      <c r="D31" s="63">
        <f t="shared" ref="D31:L31" si="18">D30+D23</f>
        <v>259.60000000000002</v>
      </c>
      <c r="E31" s="63">
        <f t="shared" si="18"/>
        <v>189.25</v>
      </c>
      <c r="F31" s="63">
        <f t="shared" si="18"/>
        <v>98.199999999999932</v>
      </c>
      <c r="G31" s="63">
        <f t="shared" si="18"/>
        <v>26.449999999999989</v>
      </c>
      <c r="H31" s="63">
        <f t="shared" si="18"/>
        <v>-56</v>
      </c>
      <c r="I31" s="63">
        <f t="shared" si="18"/>
        <v>-95.4</v>
      </c>
      <c r="J31" s="63">
        <f t="shared" si="18"/>
        <v>-14.799999999999997</v>
      </c>
      <c r="K31" s="63">
        <f t="shared" si="18"/>
        <v>-44.2</v>
      </c>
      <c r="L31" s="63">
        <f t="shared" si="18"/>
        <v>-73.599999999999994</v>
      </c>
    </row>
    <row r="32" spans="1:22" x14ac:dyDescent="0.2">
      <c r="A32" s="59" t="s">
        <v>29</v>
      </c>
      <c r="B32" s="11">
        <v>0</v>
      </c>
      <c r="C32" s="64">
        <f>C31</f>
        <v>575</v>
      </c>
      <c r="D32" s="64">
        <f>D31</f>
        <v>259.60000000000002</v>
      </c>
      <c r="E32" s="64">
        <f>E31</f>
        <v>189.25</v>
      </c>
      <c r="F32" s="64">
        <f>F31</f>
        <v>98.199999999999932</v>
      </c>
      <c r="G32" s="64">
        <f>G31</f>
        <v>26.449999999999989</v>
      </c>
    </row>
    <row r="33" spans="1:5" x14ac:dyDescent="0.2">
      <c r="C33" s="61"/>
    </row>
    <row r="34" spans="1:5" x14ac:dyDescent="0.2">
      <c r="A34" s="65" t="s">
        <v>30</v>
      </c>
      <c r="B34" s="69">
        <v>100</v>
      </c>
    </row>
    <row r="35" spans="1:5" x14ac:dyDescent="0.2">
      <c r="A35" s="65" t="s">
        <v>31</v>
      </c>
      <c r="B35" s="70">
        <f>D32-B34</f>
        <v>159.60000000000002</v>
      </c>
    </row>
    <row r="36" spans="1:5" x14ac:dyDescent="0.2">
      <c r="A36" s="65" t="s">
        <v>32</v>
      </c>
      <c r="B36" s="71">
        <f>C32-D32</f>
        <v>315.39999999999998</v>
      </c>
      <c r="E36" s="61"/>
    </row>
  </sheetData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Groupe</vt:lpstr>
      <vt:lpstr>Template Groupe</vt:lpstr>
      <vt:lpstr>'Template Groupe'!Zone_d_impression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VULIEM Olivier</dc:creator>
  <cp:lastModifiedBy>PETIT Capucine</cp:lastModifiedBy>
  <cp:lastPrinted>2025-04-06T14:28:49Z</cp:lastPrinted>
  <dcterms:created xsi:type="dcterms:W3CDTF">2025-04-06T14:23:57Z</dcterms:created>
  <dcterms:modified xsi:type="dcterms:W3CDTF">2025-10-24T10:14:49Z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{E8507559-59F0-4888-9B7F-9275D41EE34E}</vt:lpwstr>
  </property>
</Properties>
</file>